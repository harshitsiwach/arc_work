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lide Outline" sheetId="1" state="visible" r:id="rId1"/>
    <sheet name="2. Financial Model" sheetId="2" state="visible" r:id="rId2"/>
    <sheet name="3. Creator Fee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"/>
    <numFmt numFmtId="166" formatCode="0.0%"/>
    <numFmt numFmtId="167" formatCode="$#,##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  <font>
      <name val="Segoe UI"/>
      <i val="1"/>
      <color rgb="00555555"/>
      <sz val="9"/>
    </font>
    <font>
      <name val="Segoe UI"/>
      <b val="1"/>
      <color rgb="0010B981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D1FAE5"/>
        <bgColor rgb="00D1FAE5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37415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5" borderId="2" applyAlignment="1" pivotButton="0" quotePrefix="0" xfId="0">
      <alignment horizontal="left" vertical="center"/>
    </xf>
    <xf numFmtId="164" fontId="6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67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75" customWidth="1" min="4" max="4"/>
  </cols>
  <sheetData>
    <row r="1" ht="40" customHeight="1">
      <c r="A1" s="1" t="inlineStr">
        <is>
          <t>Arc Work Pitch Deck - Slide Contents</t>
        </is>
      </c>
    </row>
    <row r="2" ht="25" customHeight="1">
      <c r="A2" s="2" t="inlineStr">
        <is>
          <t>Slide No.</t>
        </is>
      </c>
      <c r="B2" s="3" t="inlineStr">
        <is>
          <t>Slide Title</t>
        </is>
      </c>
      <c r="C2" s="3" t="inlineStr">
        <is>
          <t>Core Message / Subtitle</t>
        </is>
      </c>
      <c r="D2" s="3" t="inlineStr">
        <is>
          <t>Key Bullet Points / Visual Notes</t>
        </is>
      </c>
    </row>
    <row r="3" ht="90" customHeight="1">
      <c r="A3" s="4" t="inlineStr">
        <is>
          <t>Slide 1</t>
        </is>
      </c>
      <c r="B3" s="5" t="inlineStr">
        <is>
          <t>Executive Summary</t>
        </is>
      </c>
      <c r="C3" s="6" t="inlineStr">
        <is>
          <t>The On-chain Operating System for Internet Creators and AI Workers</t>
        </is>
      </c>
      <c r="D3" s="7" t="inlineStr">
        <is>
          <t>• Built on Arc L2 Blockchain optimized for consumer Web3 apps.
• Employs Circle USDC/EURC developer-controlled wallets for seedless login.
• Platform cuts set to ultra-competitive 2.5% platform fee.
• Metric traction: 2,840+ creators registered, 14.2K+ completed orders.</t>
        </is>
      </c>
    </row>
    <row r="4" ht="90" customHeight="1">
      <c r="A4" s="4" t="inlineStr">
        <is>
          <t>Slide 2</t>
        </is>
      </c>
      <c r="B4" s="5" t="inlineStr">
        <is>
          <t>The Problem</t>
        </is>
      </c>
      <c r="C4" s="6" t="inlineStr">
        <is>
          <t>Centralized bottlenecks restrict freelance gig and creator economic growth</t>
        </is>
      </c>
      <c r="D4" s="7" t="inlineStr">
        <is>
          <t>• Rent Extraction: Upwork, Fiverr, Whop charge 10% to 30% fees plus high FX fees.
• Payment Hold: Payout holds typically take 7-14 days to settle to bank accounts.
• Lock-In: Reputations are locked inside single platform silos.
• AI workers: AI agents lack wallet rails to accept payouts and execute contracts.</t>
        </is>
      </c>
    </row>
    <row r="5" ht="90" customHeight="1">
      <c r="A5" s="4" t="inlineStr">
        <is>
          <t>Slide 3</t>
        </is>
      </c>
      <c r="B5" s="5" t="inlineStr">
        <is>
          <t>The Solution</t>
        </is>
      </c>
      <c r="C5" s="6" t="inlineStr">
        <is>
          <t>Low-Fee, Instant onchain settlements backed by AI verification escrows</t>
        </is>
      </c>
      <c r="D5" s="7" t="inlineStr">
        <is>
          <t>• Low fee &amp; instant payout (&lt;1 second finality via Circle USDC on Arc L2).
• Smart Escrows: EIP-712 templates hold funds securely until delivery.
• AI Validation: OpenAI Vision API automatically validates deliverables against terms.
• Open Portability: Portable ERC-8004 identity and on-chain ratings registry.</t>
        </is>
      </c>
    </row>
    <row r="6" ht="90" customHeight="1">
      <c r="A6" s="4" t="inlineStr">
        <is>
          <t>Slide 4</t>
        </is>
      </c>
      <c r="B6" s="5" t="inlineStr">
        <is>
          <t>Key Product Verticals</t>
        </is>
      </c>
      <c r="C6" s="6" t="inlineStr">
        <is>
          <t>A unified suite of decentralized creative tools</t>
        </is>
      </c>
      <c r="D6" s="7" t="inlineStr">
        <is>
          <t>• Explore Portal (/explore): Selling and buying digital products and tools.
• Freelance Gigs (/dashboard/marketplace): Escrow locked freelance board.
• AI Agents Hub (/agents): Wizard to build, configure, and lease bots.
• Gated Courses (/dashboard/courses): Video lessons locked behind x402 micropayments.
• Bridge &amp; Swap (/dashboard/bridge): Circle CCTP cross-chain bridge widget.</t>
        </is>
      </c>
    </row>
    <row r="7" ht="90" customHeight="1">
      <c r="A7" s="4" t="inlineStr">
        <is>
          <t>Slide 5</t>
        </is>
      </c>
      <c r="B7" s="5" t="inlineStr">
        <is>
          <t>Technical Architecture</t>
        </is>
      </c>
      <c r="C7" s="6" t="inlineStr">
        <is>
          <t>Seamless integrations of Web3 wallets, smart contracts, and AI</t>
        </is>
      </c>
      <c r="D7" s="7" t="inlineStr">
        <is>
          <t>• Circle Developer-Controlled Wallets (DCWs): Google/Email OAuth seedless login.
• Circle Smart Contract Platform (SCP): Programmable EIP-712 escrow deployment.
• AI Validation Pipeline: Node backend + OpenAI Vision API checks deliverables.
• x402 Micropayment Gating: Middleware validating transaction headers on-chain.</t>
        </is>
      </c>
    </row>
    <row r="8" ht="90" customHeight="1">
      <c r="A8" s="4" t="inlineStr">
        <is>
          <t>Slide 6</t>
        </is>
      </c>
      <c r="B8" s="5" t="inlineStr">
        <is>
          <t>Market Opportunity</t>
        </is>
      </c>
      <c r="C8" s="6" t="inlineStr">
        <is>
          <t>High creator fee savings and exponential growth alignment</t>
        </is>
      </c>
      <c r="D8" s="7" t="inlineStr">
        <is>
          <t>• Target markets: Creator economy ($250B+ valuation) and Gig work ($10B+).
• Competitive Fee Savings: Comparison matrix pitting 2.5% fee against legacy networks.
• Visualizing the fee savings cumulative earnings simulator graph.</t>
        </is>
      </c>
    </row>
    <row r="9" ht="90" customHeight="1">
      <c r="A9" s="4" t="inlineStr">
        <is>
          <t>Slide 7</t>
        </is>
      </c>
      <c r="B9" s="5" t="inlineStr">
        <is>
          <t>Business Model</t>
        </is>
      </c>
      <c r="C9" s="6" t="inlineStr">
        <is>
          <t>Platform monetization with minimal transaction friction</t>
        </is>
      </c>
      <c r="D9" s="7" t="inlineStr">
        <is>
          <t>• 2.5% Payout Fee: Split as 1.5% platform net treasury and 1.0% ecosystem gas relayer.
• AI Execution Surcharge: Minor $0.01 - $0.05 surcharge per agent runtime step.
• On-chain Subscriptions: Monthly SaaS membership tiers via ERC-8191 standard.</t>
        </is>
      </c>
    </row>
    <row r="10" ht="90" customHeight="1">
      <c r="A10" s="4" t="inlineStr">
        <is>
          <t>Slide 8</t>
        </is>
      </c>
      <c r="B10" s="5" t="inlineStr">
        <is>
          <t>Future Roadmap</t>
        </is>
      </c>
      <c r="C10" s="6" t="inlineStr">
        <is>
          <t>Direct path to Mainnet launch and fiat integration layers</t>
        </is>
      </c>
      <c r="D10" s="7" t="inlineStr">
        <is>
          <t>• Phase 1 (Completed): Core escrow contracts, Circle wallets, OpenAI Vision verification.
• Phase 2 (Completed): Navigation IA overhaul, sidebars, settings, and x402 learning player.
• Phase 3 (Planned): Mainnet launch, Circle fiat on/off-ramp widgets, cross-platform ZK reputation.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</cols>
  <sheetData>
    <row r="1" ht="40" customHeight="1">
      <c r="A1" s="1" t="inlineStr">
        <is>
          <t>Arc Work Treasury Projections Calculator</t>
        </is>
      </c>
    </row>
    <row r="2" ht="25" customHeight="1">
      <c r="A2" s="8" t="inlineStr">
        <is>
          <t>INPUT ASSUMPTIONS (Edit these cells to change projections)</t>
        </is>
      </c>
    </row>
    <row r="3" ht="22" customHeight="1">
      <c r="A3" s="5" t="inlineStr">
        <is>
          <t>Monthly Active Users (MAUs)</t>
        </is>
      </c>
      <c r="B3" s="9" t="n">
        <v>10000</v>
      </c>
      <c r="C3" s="10" t="inlineStr">
        <is>
          <t>← EDITABLE VARIABLE</t>
        </is>
      </c>
    </row>
    <row r="4" ht="22" customHeight="1">
      <c r="A4" s="5" t="inlineStr">
        <is>
          <t>Avg Transaction Size in USDC</t>
        </is>
      </c>
      <c r="B4" s="11" t="n">
        <v>150</v>
      </c>
      <c r="C4" s="10" t="inlineStr">
        <is>
          <t>← EDITABLE VARIABLE</t>
        </is>
      </c>
    </row>
    <row r="5" ht="22" customHeight="1">
      <c r="A5" s="5" t="inlineStr">
        <is>
          <t>Avg Transactions / User / Month</t>
        </is>
      </c>
      <c r="B5" s="12" t="n">
        <v>1</v>
      </c>
      <c r="C5" s="10" t="inlineStr">
        <is>
          <t>← EDITABLE VARIABLE</t>
        </is>
      </c>
    </row>
    <row r="6" ht="22" customHeight="1">
      <c r="A6" s="5" t="inlineStr">
        <is>
          <t>Platform Transaction Fee Rate</t>
        </is>
      </c>
      <c r="B6" s="13" t="n">
        <v>0.025</v>
      </c>
      <c r="C6" s="10" t="inlineStr">
        <is>
          <t>← EDITABLE VARIABLE</t>
        </is>
      </c>
    </row>
    <row r="7" ht="22" customHeight="1">
      <c r="A7" s="5" t="inlineStr">
        <is>
          <t>Treasury Share of Transaction Fee</t>
        </is>
      </c>
      <c r="B7" s="13" t="n">
        <v>0.6</v>
      </c>
      <c r="C7" s="10" t="inlineStr">
        <is>
          <t>← EDITABLE VARIABLE</t>
        </is>
      </c>
    </row>
    <row r="8" ht="22" customHeight="1">
      <c r="A8" s="5" t="inlineStr">
        <is>
          <t>AI Agent Runs / User / Month</t>
        </is>
      </c>
      <c r="B8" s="9" t="n">
        <v>5</v>
      </c>
      <c r="C8" s="10" t="inlineStr">
        <is>
          <t>← EDITABLE VARIABLE</t>
        </is>
      </c>
    </row>
    <row r="9" ht="22" customHeight="1">
      <c r="A9" s="5" t="inlineStr">
        <is>
          <t>Avg AI Agent Run Fee in USDC</t>
        </is>
      </c>
      <c r="B9" s="11" t="n">
        <v>0.02</v>
      </c>
      <c r="C9" s="10" t="inlineStr">
        <is>
          <t>← EDITABLE VARIABLE</t>
        </is>
      </c>
    </row>
    <row r="10" ht="22" customHeight="1">
      <c r="A10" s="5" t="inlineStr">
        <is>
          <t>Premium SaaS Subscription Conversion Rate</t>
        </is>
      </c>
      <c r="B10" s="13" t="n">
        <v>0.05</v>
      </c>
      <c r="C10" s="10" t="inlineStr">
        <is>
          <t>← EDITABLE VARIABLE</t>
        </is>
      </c>
    </row>
    <row r="11" ht="22" customHeight="1">
      <c r="A11" s="5" t="inlineStr">
        <is>
          <t>Premium SaaS Monthly Subscription Fee</t>
        </is>
      </c>
      <c r="B11" s="11" t="n">
        <v>20</v>
      </c>
      <c r="C11" s="10" t="inlineStr">
        <is>
          <t>← EDITABLE VARIABLE</t>
        </is>
      </c>
    </row>
    <row r="13" ht="25" customHeight="1">
      <c r="A13" s="8" t="inlineStr">
        <is>
          <t>MONTHLY PLATFORM TREASURY PROJECTIONS</t>
        </is>
      </c>
    </row>
    <row r="14" ht="22" customHeight="1">
      <c r="A14" s="6" t="inlineStr">
        <is>
          <t>Total Monthly Transaction Volume</t>
        </is>
      </c>
      <c r="B14" s="14">
        <f>B3*B4*B5</f>
        <v/>
      </c>
      <c r="C14" s="15" t="inlineStr"/>
    </row>
    <row r="15" ht="22" customHeight="1">
      <c r="A15" s="6" t="inlineStr">
        <is>
          <t>Gross Transaction Fees Generated</t>
        </is>
      </c>
      <c r="B15" s="14">
        <f>B14*B6</f>
        <v/>
      </c>
      <c r="C15" s="15" t="inlineStr"/>
    </row>
    <row r="16" ht="22" customHeight="1">
      <c r="A16" s="6" t="inlineStr">
        <is>
          <t>Net Transaction Payouts to Treasury</t>
        </is>
      </c>
      <c r="B16" s="14">
        <f>B15*B7</f>
        <v/>
      </c>
      <c r="C16" s="15" t="inlineStr"/>
    </row>
    <row r="17" ht="22" customHeight="1">
      <c r="A17" s="6" t="inlineStr">
        <is>
          <t>AI Agent Execution Payouts to Treasury</t>
        </is>
      </c>
      <c r="B17" s="14">
        <f>B3*B8*B9</f>
        <v/>
      </c>
      <c r="C17" s="15" t="inlineStr"/>
    </row>
    <row r="18" ht="22" customHeight="1">
      <c r="A18" s="6" t="inlineStr">
        <is>
          <t>ERC-8191 Subscription Payouts to Treasury</t>
        </is>
      </c>
      <c r="B18" s="14">
        <f>B3*B10*B11</f>
        <v/>
      </c>
      <c r="C18" s="15" t="inlineStr"/>
    </row>
    <row r="19" ht="26" customHeight="1">
      <c r="A19" s="16" t="inlineStr">
        <is>
          <t>TOTAL MONTHLY PLATFORM REVENUE</t>
        </is>
      </c>
      <c r="B19" s="17">
        <f>B16+B17+B18</f>
        <v/>
      </c>
      <c r="C19" s="18" t="inlineStr">
        <is>
          <t>Net monthly treasury USDC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0" customHeight="1">
      <c r="A1" s="1" t="inlineStr">
        <is>
          <t>Creator Net Earnings and Fee Savings Comparison Calculator</t>
        </is>
      </c>
    </row>
    <row r="2" ht="25" customHeight="1">
      <c r="A2" s="2" t="inlineStr">
        <is>
          <t>Tx Volume</t>
        </is>
      </c>
      <c r="B2" s="2" t="inlineStr">
        <is>
          <t>Upwork Fee (20%)</t>
        </is>
      </c>
      <c r="C2" s="2" t="inlineStr">
        <is>
          <t>Upwork Net</t>
        </is>
      </c>
      <c r="D2" s="2" t="inlineStr">
        <is>
          <t>Whop Fee (5%)</t>
        </is>
      </c>
      <c r="E2" s="2" t="inlineStr">
        <is>
          <t>Whop Net</t>
        </is>
      </c>
      <c r="F2" s="2" t="inlineStr">
        <is>
          <t>Arc Work Fee (2.5%)</t>
        </is>
      </c>
      <c r="G2" s="2" t="inlineStr">
        <is>
          <t>Arc Work Net</t>
        </is>
      </c>
      <c r="H2" s="2" t="inlineStr">
        <is>
          <t>Arc Savings vs Upwork</t>
        </is>
      </c>
      <c r="I2" s="2" t="inlineStr">
        <is>
          <t>Arc Savings vs Whop</t>
        </is>
      </c>
    </row>
    <row r="3" ht="20" customHeight="1">
      <c r="A3" s="19" t="n">
        <v>1000</v>
      </c>
      <c r="B3" s="20">
        <f>A3*0.20</f>
        <v/>
      </c>
      <c r="C3" s="20">
        <f>A3-B3</f>
        <v/>
      </c>
      <c r="D3" s="20">
        <f>A3*0.05</f>
        <v/>
      </c>
      <c r="E3" s="20">
        <f>A3-D3</f>
        <v/>
      </c>
      <c r="F3" s="14">
        <f>A3*0.025</f>
        <v/>
      </c>
      <c r="G3" s="11">
        <f>A3-F3</f>
        <v/>
      </c>
      <c r="H3" s="21">
        <f>B3-F3</f>
        <v/>
      </c>
      <c r="I3" s="21">
        <f>D3-F3</f>
        <v/>
      </c>
    </row>
    <row r="4" ht="20" customHeight="1">
      <c r="A4" s="19" t="n">
        <v>2500</v>
      </c>
      <c r="B4" s="20">
        <f>A4*0.20</f>
        <v/>
      </c>
      <c r="C4" s="20">
        <f>A4-B4</f>
        <v/>
      </c>
      <c r="D4" s="20">
        <f>A4*0.05</f>
        <v/>
      </c>
      <c r="E4" s="20">
        <f>A4-D4</f>
        <v/>
      </c>
      <c r="F4" s="14">
        <f>A4*0.025</f>
        <v/>
      </c>
      <c r="G4" s="11">
        <f>A4-F4</f>
        <v/>
      </c>
      <c r="H4" s="21">
        <f>B4-F4</f>
        <v/>
      </c>
      <c r="I4" s="21">
        <f>D4-F4</f>
        <v/>
      </c>
    </row>
    <row r="5" ht="20" customHeight="1">
      <c r="A5" s="19" t="n">
        <v>5000</v>
      </c>
      <c r="B5" s="20">
        <f>A5*0.20</f>
        <v/>
      </c>
      <c r="C5" s="20">
        <f>A5-B5</f>
        <v/>
      </c>
      <c r="D5" s="20">
        <f>A5*0.05</f>
        <v/>
      </c>
      <c r="E5" s="20">
        <f>A5-D5</f>
        <v/>
      </c>
      <c r="F5" s="14">
        <f>A5*0.025</f>
        <v/>
      </c>
      <c r="G5" s="11">
        <f>A5-F5</f>
        <v/>
      </c>
      <c r="H5" s="21">
        <f>B5-F5</f>
        <v/>
      </c>
      <c r="I5" s="21">
        <f>D5-F5</f>
        <v/>
      </c>
    </row>
    <row r="6" ht="20" customHeight="1">
      <c r="A6" s="19" t="n">
        <v>7500</v>
      </c>
      <c r="B6" s="20">
        <f>A6*0.20</f>
        <v/>
      </c>
      <c r="C6" s="20">
        <f>A6-B6</f>
        <v/>
      </c>
      <c r="D6" s="20">
        <f>A6*0.05</f>
        <v/>
      </c>
      <c r="E6" s="20">
        <f>A6-D6</f>
        <v/>
      </c>
      <c r="F6" s="14">
        <f>A6*0.025</f>
        <v/>
      </c>
      <c r="G6" s="11">
        <f>A6-F6</f>
        <v/>
      </c>
      <c r="H6" s="21">
        <f>B6-F6</f>
        <v/>
      </c>
      <c r="I6" s="21">
        <f>D6-F6</f>
        <v/>
      </c>
    </row>
    <row r="7" ht="20" customHeight="1">
      <c r="A7" s="19" t="n">
        <v>10000</v>
      </c>
      <c r="B7" s="20">
        <f>A7*0.20</f>
        <v/>
      </c>
      <c r="C7" s="20">
        <f>A7-B7</f>
        <v/>
      </c>
      <c r="D7" s="20">
        <f>A7*0.05</f>
        <v/>
      </c>
      <c r="E7" s="20">
        <f>A7-D7</f>
        <v/>
      </c>
      <c r="F7" s="14">
        <f>A7*0.025</f>
        <v/>
      </c>
      <c r="G7" s="11">
        <f>A7-F7</f>
        <v/>
      </c>
      <c r="H7" s="21">
        <f>B7-F7</f>
        <v/>
      </c>
      <c r="I7" s="21">
        <f>D7-F7</f>
        <v/>
      </c>
    </row>
    <row r="8" ht="20" customHeight="1">
      <c r="A8" s="19" t="n">
        <v>15000</v>
      </c>
      <c r="B8" s="20">
        <f>A8*0.20</f>
        <v/>
      </c>
      <c r="C8" s="20">
        <f>A8-B8</f>
        <v/>
      </c>
      <c r="D8" s="20">
        <f>A8*0.05</f>
        <v/>
      </c>
      <c r="E8" s="20">
        <f>A8-D8</f>
        <v/>
      </c>
      <c r="F8" s="14">
        <f>A8*0.025</f>
        <v/>
      </c>
      <c r="G8" s="11">
        <f>A8-F8</f>
        <v/>
      </c>
      <c r="H8" s="21">
        <f>B8-F8</f>
        <v/>
      </c>
      <c r="I8" s="21">
        <f>D8-F8</f>
        <v/>
      </c>
    </row>
    <row r="9" ht="20" customHeight="1">
      <c r="A9" s="19" t="n">
        <v>20000</v>
      </c>
      <c r="B9" s="20">
        <f>A9*0.20</f>
        <v/>
      </c>
      <c r="C9" s="20">
        <f>A9-B9</f>
        <v/>
      </c>
      <c r="D9" s="20">
        <f>A9*0.05</f>
        <v/>
      </c>
      <c r="E9" s="20">
        <f>A9-D9</f>
        <v/>
      </c>
      <c r="F9" s="14">
        <f>A9*0.025</f>
        <v/>
      </c>
      <c r="G9" s="11">
        <f>A9-F9</f>
        <v/>
      </c>
      <c r="H9" s="21">
        <f>B9-F9</f>
        <v/>
      </c>
      <c r="I9" s="21">
        <f>D9-F9</f>
        <v/>
      </c>
    </row>
    <row r="10" ht="20" customHeight="1">
      <c r="A10" s="19" t="n">
        <v>25000</v>
      </c>
      <c r="B10" s="20">
        <f>A10*0.20</f>
        <v/>
      </c>
      <c r="C10" s="20">
        <f>A10-B10</f>
        <v/>
      </c>
      <c r="D10" s="20">
        <f>A10*0.05</f>
        <v/>
      </c>
      <c r="E10" s="20">
        <f>A10-D10</f>
        <v/>
      </c>
      <c r="F10" s="14">
        <f>A10*0.025</f>
        <v/>
      </c>
      <c r="G10" s="11">
        <f>A10-F10</f>
        <v/>
      </c>
      <c r="H10" s="21">
        <f>B10-F10</f>
        <v/>
      </c>
      <c r="I10" s="21">
        <f>D10-F10</f>
        <v/>
      </c>
    </row>
    <row r="11" ht="20" customHeight="1">
      <c r="A11" s="19" t="n">
        <v>30000</v>
      </c>
      <c r="B11" s="20">
        <f>A11*0.20</f>
        <v/>
      </c>
      <c r="C11" s="20">
        <f>A11-B11</f>
        <v/>
      </c>
      <c r="D11" s="20">
        <f>A11*0.05</f>
        <v/>
      </c>
      <c r="E11" s="20">
        <f>A11-D11</f>
        <v/>
      </c>
      <c r="F11" s="14">
        <f>A11*0.025</f>
        <v/>
      </c>
      <c r="G11" s="11">
        <f>A11-F11</f>
        <v/>
      </c>
      <c r="H11" s="21">
        <f>B11-F11</f>
        <v/>
      </c>
      <c r="I11" s="21">
        <f>D11-F11</f>
        <v/>
      </c>
    </row>
    <row r="12" ht="20" customHeight="1">
      <c r="A12" s="19" t="n">
        <v>40000</v>
      </c>
      <c r="B12" s="20">
        <f>A12*0.20</f>
        <v/>
      </c>
      <c r="C12" s="20">
        <f>A12-B12</f>
        <v/>
      </c>
      <c r="D12" s="20">
        <f>A12*0.05</f>
        <v/>
      </c>
      <c r="E12" s="20">
        <f>A12-D12</f>
        <v/>
      </c>
      <c r="F12" s="14">
        <f>A12*0.025</f>
        <v/>
      </c>
      <c r="G12" s="11">
        <f>A12-F12</f>
        <v/>
      </c>
      <c r="H12" s="21">
        <f>B12-F12</f>
        <v/>
      </c>
      <c r="I12" s="21">
        <f>D12-F12</f>
        <v/>
      </c>
    </row>
    <row r="13" ht="20" customHeight="1">
      <c r="A13" s="19" t="n">
        <v>50000</v>
      </c>
      <c r="B13" s="20">
        <f>A13*0.20</f>
        <v/>
      </c>
      <c r="C13" s="20">
        <f>A13-B13</f>
        <v/>
      </c>
      <c r="D13" s="20">
        <f>A13*0.05</f>
        <v/>
      </c>
      <c r="E13" s="20">
        <f>A13-D13</f>
        <v/>
      </c>
      <c r="F13" s="14">
        <f>A13*0.025</f>
        <v/>
      </c>
      <c r="G13" s="11">
        <f>A13-F13</f>
        <v/>
      </c>
      <c r="H13" s="21">
        <f>B13-F13</f>
        <v/>
      </c>
      <c r="I13" s="21">
        <f>D13-F13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2026-05-22T01:54:29Z</dcterms:created>
  <dcterms:modified xsi:type="dcterms:W3CDTF">2026-05-22T01:54:29Z</dcterms:modified>
</cp:coreProperties>
</file>